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831eb4b94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充分训练核验" sheetId="1" r:id="Rb3ba1e43bf3c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"/>
    <x:numFmt numFmtId="202" formatCode="0.000"/>
    <x:numFmt numFmtId="203" formatCode="#,##0.0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1" fontId="0" fillId="0" borderId="3" xfId="0" applyNumberFormat="1" applyFont="1" applyFill="1" applyBorder="1" applyAlignment="1">
      <x:alignment horizontal="right" vertical="center" wrapText="1"/>
    </x:xf>
    <x:xf numFmtId="201" fontId="0" fillId="0" borderId="6" xfId="0" applyNumberFormat="1" applyFont="1" applyFill="1" applyBorder="1" applyAlignment="1">
      <x:alignment horizontal="right" vertical="center" wrapText="1"/>
    </x:xf>
    <x:xf numFmtId="201" fontId="0" fillId="0" borderId="9" xfId="0" applyNumberFormat="1" applyFont="1" applyFill="1" applyBorder="1" applyAlignment="1">
      <x:alignment horizontal="right" vertical="center" wrapText="1"/>
    </x:xf>
    <x:xf numFmtId="202" fontId="0" fillId="0" borderId="3" xfId="0" applyNumberFormat="1" applyFont="1" applyFill="1" applyBorder="1" applyAlignment="1">
      <x:alignment horizontal="right" vertical="center" wrapText="1"/>
    </x:xf>
    <x:xf numFmtId="202" fontId="0" fillId="0" borderId="6" xfId="0" applyNumberFormat="1" applyFont="1" applyFill="1" applyBorder="1" applyAlignment="1">
      <x:alignment horizontal="right" vertical="center" wrapText="1"/>
    </x:xf>
    <x:xf numFmtId="202" fontId="0" fillId="0" borderId="9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horizontal="left" wrapText="1"/>
    </x:xf>
    <x:xf numFmtId="0" fontId="5" fillId="5" borderId="12" xfId="0" applyNumberFormat="1" applyFont="1" applyFill="1" applyBorder="1" applyAlignment="1">
      <x:alignment horizontal="left" wrapText="1"/>
    </x:xf>
    <x:xf numFmtId="0" fontId="5" fillId="5" borderId="13" xfId="0" applyNumberFormat="1" applyFont="1" applyFill="1" applyBorder="1" applyAlignment="1">
      <x:alignment horizontal="left" wrapText="1"/>
    </x:xf>
    <x:xf numFmtId="0" fontId="5" fillId="5" borderId="14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15" xfId="0" applyNumberFormat="1" applyFont="1" applyFill="1" applyBorder="1" applyAlignment="1">
      <x:alignment horizontal="left" wrapText="1"/>
    </x:xf>
    <x:xf numFmtId="0" fontId="5" fillId="5" borderId="16" xfId="0" applyNumberFormat="1" applyFont="1" applyFill="1" applyBorder="1" applyAlignment="1">
      <x:alignment horizontal="left" wrapText="1"/>
    </x:xf>
    <x:xf numFmtId="0" fontId="5" fillId="5" borderId="17" xfId="0" applyNumberFormat="1" applyFont="1" applyFill="1" applyBorder="1" applyAlignment="1">
      <x:alignment horizontal="left" wrapText="1"/>
    </x:xf>
    <x:xf numFmtId="0" fontId="5" fillId="5" borderId="18" xfId="0" applyNumberFormat="1" applyFont="1" applyFill="1" applyBorder="1" applyAlignment="1">
      <x:alignment horizontal="left" wrapText="1"/>
    </x:xf>
    <x:xf numFmtId="0" fontId="5" fillId="5" borderId="11" xfId="0" applyNumberFormat="1" applyFont="1" applyFill="1" applyBorder="1" applyAlignment="1">
      <x:alignment horizontal="left" vertical="center" wrapText="1"/>
    </x:xf>
    <x:xf numFmtId="0" fontId="5" fillId="5" borderId="12" xfId="0" applyNumberFormat="1" applyFont="1" applyFill="1" applyBorder="1" applyAlignment="1">
      <x:alignment horizontal="left" vertical="center" wrapText="1"/>
    </x:xf>
    <x:xf numFmtId="0" fontId="5" fillId="5" borderId="13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15" xfId="0" applyNumberFormat="1" applyFont="1" applyFill="1" applyBorder="1" applyAlignment="1">
      <x:alignment horizontal="left" vertical="center" wrapText="1"/>
    </x:xf>
    <x:xf numFmtId="0" fontId="5" fillId="5" borderId="16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horizontal="left" vertical="center" wrapText="1"/>
    </x:xf>
    <x:xf numFmtId="0" fontId="5" fillId="5" borderId="1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1707b5394449b" /><Relationship Type="http://schemas.openxmlformats.org/officeDocument/2006/relationships/theme" Target="/xl/theme/theme1.xml" Id="Rf7816e87ea4945a8" /><Relationship Type="http://schemas.openxmlformats.org/officeDocument/2006/relationships/sharedStrings" Target="/xl/sharedStrings.xml" Id="R9c233dc340754055" /><Relationship Type="http://schemas.openxmlformats.org/officeDocument/2006/relationships/worksheet" Target="/xl/worksheets/sheet1.xml" Id="Rb3ba1e43bf3c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2" hidden="0" customWidth="1"/>
    <x:col min="11" max="11" width="19" hidden="0" customWidth="1"/>
    <x:col min="12" max="12" width="17" hidden="0" customWidth="1"/>
    <x:col min="13" max="13" width="24" hidden="0" customWidth="1"/>
  </x:cols>
  <x:sheetData>
    <x:row r="1" ht="30" customHeight="1">
      <x:c r="A1" s="4" t="str">
        <x:v>ActionPiece 五种子充分训练核验</x:v>
      </x:c>
      <x:c r="B1" s="4" t="str">
        <x:v>ActionPiece 五种子充分训练核验</x:v>
      </x:c>
      <x:c r="C1" s="4" t="str">
        <x:v>ActionPiece 五种子充分训练核验</x:v>
      </x:c>
      <x:c r="D1" s="4" t="str">
        <x:v>ActionPiece 五种子充分训练核验</x:v>
      </x:c>
      <x:c r="E1" s="4" t="str">
        <x:v>ActionPiece 五种子充分训练核验</x:v>
      </x:c>
      <x:c r="F1" s="4" t="str">
        <x:v>ActionPiece 五种子充分训练核验</x:v>
      </x:c>
      <x:c r="G1" s="4" t="str">
        <x:v>ActionPiece 五种子充分训练核验</x:v>
      </x:c>
      <x:c r="H1" s="4" t="str">
        <x:v>ActionPiece 五种子充分训练核验</x:v>
      </x:c>
      <x:c r="I1" s="4" t="str">
        <x:v>ActionPiece 五种子充分训练核验</x:v>
      </x:c>
      <x:c r="J1" s="4" t="str">
        <x:v>ActionPiece 五种子充分训练核验</x:v>
      </x:c>
      <x:c r="K1" s="4" t="str">
        <x:v>ActionPiece 五种子充分训练核验</x:v>
      </x:c>
      <x:c r="L1" s="4" t="str">
        <x:v>ActionPiece 五种子充分训练核验</x:v>
      </x:c>
      <x:c r="M1" s="4" t="str">
        <x:v>ActionPiece 五种子充分训练核验</x:v>
      </x:c>
    </x:row>
    <x:row r="2">
      <x:c r="A2" s="8" t="str">
        <x:v>正式结果｜全物品评估｜判定：seed 2028 基本充分训练；seed 2024—2027 尚不能确认充分收敛</x:v>
      </x:c>
      <x:c r="B2" s="8" t="str">
        <x:v>正式结果｜全物品评估｜判定：seed 2028 基本充分训练；seed 2024—2027 尚不能确认充分收敛</x:v>
      </x:c>
      <x:c r="C2" s="8" t="str">
        <x:v>正式结果｜全物品评估｜判定：seed 2028 基本充分训练；seed 2024—2027 尚不能确认充分收敛</x:v>
      </x:c>
      <x:c r="D2" s="8" t="str">
        <x:v>正式结果｜全物品评估｜判定：seed 2028 基本充分训练；seed 2024—2027 尚不能确认充分收敛</x:v>
      </x:c>
      <x:c r="E2" s="8" t="str">
        <x:v>正式结果｜全物品评估｜判定：seed 2028 基本充分训练；seed 2024—2027 尚不能确认充分收敛</x:v>
      </x:c>
      <x:c r="F2" s="8" t="str">
        <x:v>正式结果｜全物品评估｜判定：seed 2028 基本充分训练；seed 2024—2027 尚不能确认充分收敛</x:v>
      </x:c>
      <x:c r="G2" s="8" t="str">
        <x:v>正式结果｜全物品评估｜判定：seed 2028 基本充分训练；seed 2024—2027 尚不能确认充分收敛</x:v>
      </x:c>
      <x:c r="H2" s="8" t="str">
        <x:v>正式结果｜全物品评估｜判定：seed 2028 基本充分训练；seed 2024—2027 尚不能确认充分收敛</x:v>
      </x:c>
      <x:c r="I2" s="8" t="str">
        <x:v>正式结果｜全物品评估｜判定：seed 2028 基本充分训练；seed 2024—2027 尚不能确认充分收敛</x:v>
      </x:c>
      <x:c r="J2" s="8" t="str">
        <x:v>正式结果｜全物品评估｜判定：seed 2028 基本充分训练；seed 2024—2027 尚不能确认充分收敛</x:v>
      </x:c>
      <x:c r="K2" s="8" t="str">
        <x:v>正式结果｜全物品评估｜判定：seed 2028 基本充分训练；seed 2024—2027 尚不能确认充分收敛</x:v>
      </x:c>
      <x:c r="L2" s="8" t="str">
        <x:v>正式结果｜全物品评估｜判定：seed 2028 基本充分训练；seed 2024—2027 尚不能确认充分收敛</x:v>
      </x:c>
      <x:c r="M2" s="8" t="str">
        <x:v>正式结果｜全物品评估｜判定：seed 2028 基本充分训练；seed 2024—2027 尚不能确认充分收敛</x:v>
      </x:c>
    </x:row>
    <x:row r="4" ht="30" customHeight="1">
      <x:c r="A4" s="14" t="str">
        <x:v>Seed</x:v>
      </x:c>
      <x:c r="B4" s="14" t="str">
        <x:v>停止轮次</x:v>
      </x:c>
      <x:c r="C4" s="14" t="str">
        <x:v>最佳轮次</x:v>
      </x:c>
      <x:c r="D4" s="14" t="str">
        <x:v>最佳验证 NDCG@10</x:v>
      </x:c>
      <x:c r="E4" s="14" t="str">
        <x:v>Test NDCG@5</x:v>
      </x:c>
      <x:c r="F4" s="14" t="str">
        <x:v>Test NDCG@10</x:v>
      </x:c>
      <x:c r="G4" s="14" t="str">
        <x:v>Test Recall@5</x:v>
      </x:c>
      <x:c r="H4" s="14" t="str">
        <x:v>Test Recall@10</x:v>
      </x:c>
      <x:c r="I4" s="14" t="str">
        <x:v>总时长(秒)</x:v>
      </x:c>
      <x:c r="J4" s="14" t="str">
        <x:v>总时长</x:v>
      </x:c>
      <x:c r="K4" s="14" t="str">
        <x:v>推理延迟(ms/用户)</x:v>
      </x:c>
      <x:c r="L4" s="14" t="str">
        <x:v>峰值显存(MiB)</x:v>
      </x:c>
      <x:c r="M4" s="14" t="str">
        <x:v>充分性判断</x:v>
      </x:c>
    </x:row>
    <x:row r="5" ht="30" customHeight="1">
      <x:c r="A5" s="42" t="n">
        <x:v>2024</x:v>
      </x:c>
      <x:c r="B5" s="43" t="n">
        <x:v>30</x:v>
      </x:c>
      <x:c r="C5" s="43" t="n">
        <x:v>10</x:v>
      </x:c>
      <x:c r="D5" s="54" t="n">
        <x:v>0.007222332991659641</x:v>
      </x:c>
      <x:c r="E5" s="55" t="n">
        <x:v>0.004035830032080412</x:v>
      </x:c>
      <x:c r="F5" s="55" t="n">
        <x:v>0.00543506583198905</x:v>
      </x:c>
      <x:c r="G5" s="55" t="n">
        <x:v>0.005983482114970684</x:v>
      </x:c>
      <x:c r="H5" s="55" t="n">
        <x:v>0.010421933606266975</x:v>
      </x:c>
      <x:c r="I5" s="60" t="n">
        <x:v>28343</x:v>
      </x:c>
      <x:c r="J5" s="48" t="str">
        <x:v>07:52:23</x:v>
      </x:c>
      <x:c r="K5" s="63" t="n">
        <x:v>23.23164222709141</x:v>
      </x:c>
      <x:c r="L5" s="60" t="n">
        <x:v>42765</x:v>
      </x:c>
      <x:c r="M5" s="51" t="str">
        <x:v>尚不能确认充分收敛</x:v>
      </x:c>
    </x:row>
    <x:row r="6" ht="30" customHeight="1">
      <x:c r="A6" s="44" t="n">
        <x:v>2025</x:v>
      </x:c>
      <x:c r="B6" s="45" t="n">
        <x:v>28</x:v>
      </x:c>
      <x:c r="C6" s="45" t="n">
        <x:v>8</x:v>
      </x:c>
      <x:c r="D6" s="56" t="n">
        <x:v>0.0072428095154464245</x:v>
      </x:c>
      <x:c r="E6" s="57" t="n">
        <x:v>0.004190665204077959</x:v>
      </x:c>
      <x:c r="F6" s="57" t="n">
        <x:v>0.005697412416338921</x:v>
      </x:c>
      <x:c r="G6" s="57" t="n">
        <x:v>0.006489128805696964</x:v>
      </x:c>
      <x:c r="H6" s="57" t="n">
        <x:v>0.011208495125174522</x:v>
      </x:c>
      <x:c r="I6" s="61" t="n">
        <x:v>26264</x:v>
      </x:c>
      <x:c r="J6" s="49" t="str">
        <x:v>07:17:44</x:v>
      </x:c>
      <x:c r="K6" s="64" t="n">
        <x:v>23.09118489802798</x:v>
      </x:c>
      <x:c r="L6" s="61" t="n">
        <x:v>42739</x:v>
      </x:c>
      <x:c r="M6" s="52" t="str">
        <x:v>尚不能确认充分收敛</x:v>
      </x:c>
    </x:row>
    <x:row r="7" ht="30" customHeight="1">
      <x:c r="A7" s="44" t="n">
        <x:v>2026</x:v>
      </x:c>
      <x:c r="B7" s="45" t="n">
        <x:v>40</x:v>
      </x:c>
      <x:c r="C7" s="45" t="n">
        <x:v>20</x:v>
      </x:c>
      <x:c r="D7" s="56" t="n">
        <x:v>0.007414663210511208</x:v>
      </x:c>
      <x:c r="E7" s="57" t="n">
        <x:v>0.00443438533693552</x:v>
      </x:c>
      <x:c r="F7" s="57" t="n">
        <x:v>0.005753658711910248</x:v>
      </x:c>
      <x:c r="G7" s="57" t="n">
        <x:v>0.006601494271308184</x:v>
      </x:c>
      <x:c r="H7" s="57" t="n">
        <x:v>0.010562391020357609</x:v>
      </x:c>
      <x:c r="I7" s="61" t="n">
        <x:v>37049</x:v>
      </x:c>
      <x:c r="J7" s="49" t="str">
        <x:v>10:17:29</x:v>
      </x:c>
      <x:c r="K7" s="64" t="n">
        <x:v>23.14736782965335</x:v>
      </x:c>
      <x:c r="L7" s="61" t="n">
        <x:v>42831</x:v>
      </x:c>
      <x:c r="M7" s="52" t="str">
        <x:v>尚不能确认充分收敛</x:v>
      </x:c>
    </x:row>
    <x:row r="8" ht="30" customHeight="1">
      <x:c r="A8" s="44" t="n">
        <x:v>2027</x:v>
      </x:c>
      <x:c r="B8" s="45" t="n">
        <x:v>34</x:v>
      </x:c>
      <x:c r="C8" s="45" t="n">
        <x:v>14</x:v>
      </x:c>
      <x:c r="D8" s="56" t="n">
        <x:v>0.007412659469991922</x:v>
      </x:c>
      <x:c r="E8" s="57" t="n">
        <x:v>0.0040017846040427685</x:v>
      </x:c>
      <x:c r="F8" s="57" t="n">
        <x:v>0.005717610474675894</x:v>
      </x:c>
      <x:c r="G8" s="57" t="n">
        <x:v>0.005927299149334431</x:v>
      </x:c>
      <x:c r="H8" s="57" t="n">
        <x:v>0.011124220676720142</x:v>
      </x:c>
      <x:c r="I8" s="61" t="n">
        <x:v>31633</x:v>
      </x:c>
      <x:c r="J8" s="49" t="str">
        <x:v>08:47:13</x:v>
      </x:c>
      <x:c r="K8" s="64" t="n">
        <x:v>23.119276363840665</x:v>
      </x:c>
      <x:c r="L8" s="61" t="n">
        <x:v>42647</x:v>
      </x:c>
      <x:c r="M8" s="52" t="str">
        <x:v>尚不能确认充分收敛</x:v>
      </x:c>
    </x:row>
    <x:row r="9" ht="30" customHeight="1">
      <x:c r="A9" s="46" t="n">
        <x:v>2028</x:v>
      </x:c>
      <x:c r="B9" s="47" t="n">
        <x:v>200</x:v>
      </x:c>
      <x:c r="C9" s="47" t="n">
        <x:v>189</x:v>
      </x:c>
      <x:c r="D9" s="58" t="n">
        <x:v>0.032188285142183304</x:v>
      </x:c>
      <x:c r="E9" s="59" t="n">
        <x:v>0.01924930140376091</x:v>
      </x:c>
      <x:c r="F9" s="59" t="n">
        <x:v>0.02442699298262596</x:v>
      </x:c>
      <x:c r="G9" s="59" t="n">
        <x:v>0.029074667021632195</x:v>
      </x:c>
      <x:c r="H9" s="59" t="n">
        <x:v>0.045086801052093506</x:v>
      </x:c>
      <x:c r="I9" s="62" t="n">
        <x:v>182056</x:v>
      </x:c>
      <x:c r="J9" s="50" t="str">
        <x:v>50:34:16</x:v>
      </x:c>
      <x:c r="K9" s="65" t="n">
        <x:v>23.175459295466037</x:v>
      </x:c>
      <x:c r="L9" s="62" t="n">
        <x:v>43011</x:v>
      </x:c>
      <x:c r="M9" s="53" t="str">
        <x:v>基本充分训练</x:v>
      </x:c>
    </x:row>
    <x:row r="12">
      <x:c r="A12" s="67" t="str">
        <x:v>五种子统计摘要（公式计算）</x:v>
      </x:c>
      <x:c r="B12" s="67" t="str">
        <x:v>五种子统计摘要（公式计算）</x:v>
      </x:c>
      <x:c r="C12" s="67" t="str">
        <x:v>五种子统计摘要（公式计算）</x:v>
      </x:c>
      <x:c r="D12" s="67" t="str">
        <x:v>五种子统计摘要（公式计算）</x:v>
      </x:c>
      <x:c r="E12" s="67" t="str">
        <x:v>五种子统计摘要（公式计算）</x:v>
      </x:c>
      <x:c r="F12" s="67" t="str">
        <x:v>五种子统计摘要（公式计算）</x:v>
      </x:c>
      <x:c r="H12" s="67" t="str">
        <x:v>核验结论</x:v>
      </x:c>
      <x:c r="I12" s="67" t="str">
        <x:v>核验结论</x:v>
      </x:c>
      <x:c r="J12" s="67" t="str">
        <x:v>核验结论</x:v>
      </x:c>
      <x:c r="K12" s="67" t="str">
        <x:v>核验结论</x:v>
      </x:c>
      <x:c r="L12" s="67" t="str">
        <x:v>核验结论</x:v>
      </x:c>
      <x:c r="M12" s="67" t="str">
        <x:v>核验结论</x:v>
      </x:c>
    </x:row>
    <x:row r="13">
      <x:c r="A13" s="14" t="str">
        <x:v>指标</x:v>
      </x:c>
      <x:c r="B13" s="14" t="str">
        <x:v>均值</x:v>
      </x:c>
      <x:c r="C13" s="14" t="str">
        <x:v>样本标准差</x:v>
      </x:c>
      <x:c r="D13" s="14" t="str">
        <x:v>论文均值</x:v>
      </x:c>
      <x:c r="E13" s="14" t="str">
        <x:v>论文标准差</x:v>
      </x:c>
      <x:c r="F13" s="14" t="str">
        <x:v>说明</x:v>
      </x:c>
      <x:c r="H13" s="99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I13" s="100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J13" s="100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K13" s="100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L13" s="100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M13" s="101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</x:row>
    <x:row r="14">
      <x:c r="A14" s="33" t="str">
        <x:v>NDCG@5</x:v>
      </x:c>
      <x:c r="B14" s="68" t="n">
        <x:f>AVERAGE(E5:E9)</x:f>
        <x:v>0.007182393316179514</x:v>
      </x:c>
      <x:c r="C14" s="68" t="n">
        <x:f>STDEV.S(E5:E9)</x:f>
        <x:v>0.006747766075254561</x:v>
      </x:c>
      <x:c r="D14" s="68" t="n">
        <x:v>0.0205</x:v>
      </x:c>
      <x:c r="E14" s="68" t="n">
        <x:v>0.0002</x:v>
      </x:c>
      <x:c r="F14" s="35" t="str">
        <x:v>本次均值低于论文</x:v>
      </x:c>
      <x:c r="H14" s="102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I14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J14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K14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L14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M14" s="104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</x:row>
    <x:row r="15">
      <x:c r="A15" s="36" t="str">
        <x:v>NDCG@10</x:v>
      </x:c>
      <x:c r="B15" s="69" t="n">
        <x:f>AVERAGE(F5:F9)</x:f>
        <x:v>0.009406148083508014</x:v>
      </x:c>
      <x:c r="C15" s="69" t="n">
        <x:f>STDEV.S(F5:F9)</x:f>
        <x:v>0.008397856635505609</x:v>
      </x:c>
      <x:c r="D15" s="69" t="n">
        <x:v>0.0264</x:v>
      </x:c>
      <x:c r="E15" s="69" t="n">
        <x:v>0.0003</x:v>
      </x:c>
      <x:c r="F15" s="38" t="str">
        <x:v>本次均值低于论文</x:v>
      </x:c>
      <x:c r="H15" s="102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I15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J15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K15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L15" s="103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M15" s="104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</x:row>
    <x:row r="16">
      <x:c r="A16" s="36" t="str">
        <x:v>Recall@5</x:v>
      </x:c>
      <x:c r="B16" s="69" t="n">
        <x:f>AVERAGE(G5:G9)</x:f>
        <x:v>0.010815214272588492</x:v>
      </x:c>
      <x:c r="C16" s="69" t="n">
        <x:f>STDEV.S(G5:G9)</x:f>
        <x:v>0.010211701820775191</x:v>
      </x:c>
      <x:c r="D16" s="69" t="n">
        <x:v>0.0316</x:v>
      </x:c>
      <x:c r="E16" s="69" t="n">
        <x:v>0.0005</x:v>
      </x:c>
      <x:c r="F16" s="38" t="str">
        <x:v>本次均值低于论文</x:v>
      </x:c>
      <x:c r="H16" s="105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I16" s="106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J16" s="106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K16" s="106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L16" s="106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  <x:c r="M16" s="107" t="str">
        <x:v>五次正式运行均正常结束，但前四个种子在第 28—40 轮触发 patience=20 早停；seed 2028 训练至第 200 轮并在第 189 轮达到最佳验证结果。设置对齐核验通过，充分训练核验部分通过，当前结果作为阶段性复现结果。</x:v>
      </x:c>
    </x:row>
    <x:row r="17">
      <x:c r="A17" s="36" t="str">
        <x:v>Recall@10</x:v>
      </x:c>
      <x:c r="B17" s="69" t="n">
        <x:f>AVERAGE(H5:H9)</x:f>
        <x:v>0.01768076829612255</x:v>
      </x:c>
      <x:c r="C17" s="69" t="n">
        <x:f>STDEV.S(H5:H9)</x:f>
        <x:v>0.015324255644247418</x:v>
      </x:c>
      <x:c r="D17" s="69" t="n">
        <x:v>0.05</x:v>
      </x:c>
      <x:c r="E17" s="69" t="n">
        <x:v>0.0007</x:v>
      </x:c>
      <x:c r="F17" s="38" t="str">
        <x:v>本次均值低于论文</x:v>
      </x:c>
    </x:row>
    <x:row r="18">
      <x:c r="A18" s="36" t="str">
        <x:v>推理延迟(ms/用户)</x:v>
      </x:c>
      <x:c r="B18" s="69" t="n">
        <x:f>AVERAGE(K5:K9)</x:f>
        <x:v>23.15298612281589</x:v>
      </x:c>
      <x:c r="C18" s="69" t="n">
        <x:f>STDEV.S(K5:K9)</x:f>
        <x:v>0.054035013376232705</x:v>
      </x:c>
      <x:c r="D18" s="69"/>
      <x:c r="E18" s="69"/>
      <x:c r="F18" s="38" t="str">
        <x:v>五种子延迟稳定</x:v>
      </x:c>
    </x:row>
    <x:row r="19">
      <x:c r="A19" s="39" t="str">
        <x:v>总时长(秒)</x:v>
      </x:c>
      <x:c r="B19" s="70" t="n">
        <x:f>AVERAGE(I5:I9)</x:f>
        <x:v>61069</x:v>
      </x:c>
      <x:c r="C19" s="70" t="n">
        <x:f>STDEV.S(I5:I9)</x:f>
        <x:v>67756.31292728375</x:v>
      </x:c>
      <x:c r="D19" s="70"/>
      <x:c r="E19" s="70"/>
      <x:c r="F19" s="41" t="str">
        <x:v>累计时长 = 84:49:05</x:v>
      </x:c>
    </x:row>
  </x:sheetData>
  <x:mergeCells>
    <x:mergeCell ref="A1:M1"/>
    <x:mergeCell ref="A2:M2"/>
    <x:mergeCell ref="A12:F12"/>
    <x:mergeCell ref="H12:M12"/>
    <x:mergeCell ref="H13:M16"/>
  </x:mergeCells>
  <x:conditionalFormatting sqref="M5:M9">
    <x:cfRule type="containsText" dxfId="0" priority="1" operator="containsText" text="基本充分训练"/>
    <x:cfRule type="containsText" dxfId="1" priority="2" operator="containsText" text="尚不能确认"/>
  </x:conditionalFormatting>
  <x:pageMargins left="0.7" right="0.7" top="0.75" bottom="0.75" header="0.3" footer="0.3"/>
</x:worksheet>
</file>