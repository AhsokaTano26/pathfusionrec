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xxuanother\dachuang\ActionPiece复现\"/>
    </mc:Choice>
  </mc:AlternateContent>
  <xr:revisionPtr revIDLastSave="0" documentId="13_ncr:1_{B10B3151-A7F0-4D64-AA7A-C3D60FE3F186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统一汇总" sheetId="1" r:id="rId1"/>
    <sheet name="共同种子原始数据" sheetId="2" r:id="rId2"/>
    <sheet name="统计计算" sheetId="3" r:id="rId3"/>
    <sheet name="口径与说明" sheetId="4" r:id="rId4"/>
    <sheet name="来源映射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2" l="1"/>
  <c r="L8" i="2" s="1"/>
  <c r="K7" i="2"/>
  <c r="L7" i="2" s="1"/>
  <c r="K6" i="2"/>
  <c r="L6" i="2" s="1"/>
  <c r="K5" i="2"/>
  <c r="L5" i="2" s="1"/>
  <c r="K4" i="2"/>
  <c r="L4" i="2" s="1"/>
  <c r="K3" i="2"/>
  <c r="L3" i="2" s="1"/>
</calcChain>
</file>

<file path=xl/sharedStrings.xml><?xml version="1.0" encoding="utf-8"?>
<sst xmlns="http://schemas.openxmlformats.org/spreadsheetml/2006/main" count="339" uniqueCount="127">
  <si>
    <t>任务三：SASRec 与 ActionPiece 统一实验表</t>
  </si>
  <si>
    <t>Amazon Sports and Outdoors｜leave-last-out｜全物品评估｜共同随机种子：2026、2027、2028｜均值 ± 样本标准差</t>
  </si>
  <si>
    <t>模型</t>
  </si>
  <si>
    <t>NDCG@5</t>
  </si>
  <si>
    <t>NDCG@10</t>
  </si>
  <si>
    <t>Recall/HR@5</t>
  </si>
  <si>
    <t>Recall/HR@10</t>
  </si>
  <si>
    <t>训练选模时间（秒）</t>
  </si>
  <si>
    <t>训练选模时间（小时）</t>
  </si>
  <si>
    <t>完整推理延迟（ms/用户）</t>
  </si>
  <si>
    <t>结果状态</t>
  </si>
  <si>
    <t>SASRec-PyTorch (pmixer)</t>
  </si>
  <si>
    <t>0.009583 ± 0.000284</t>
  </si>
  <si>
    <t>0.012685 ± 0.000398</t>
  </si>
  <si>
    <t>0.014711 ± 0.000172</t>
  </si>
  <si>
    <t>0.024383 ± 0.000722</t>
  </si>
  <si>
    <t>293.825537 ± 25.205676</t>
  </si>
  <si>
    <t>0.081618 ± 0.007002</t>
  </si>
  <si>
    <t>0.059684 ± 0.001046</t>
  </si>
  <si>
    <t>正式三种子结果；收敛较稳定</t>
  </si>
  <si>
    <t>ActionPiece</t>
  </si>
  <si>
    <t>0.009228 ± 0.008681</t>
  </si>
  <si>
    <t>0.011966 ± 0.010791</t>
  </si>
  <si>
    <t>0.013868 ± 0.013174</t>
  </si>
  <si>
    <t>0.022258 ± 0.019772</t>
  </si>
  <si>
    <t>82755.333333 ± 85325.396280</t>
  </si>
  <si>
    <t>22.987593 ± 23.701499</t>
  </si>
  <si>
    <t>23.147368 ± 0.028091</t>
  </si>
  <si>
    <t>阶段性三种子结果；充分训练核验部分通过</t>
  </si>
  <si>
    <t>统一表结论与使用限制</t>
  </si>
  <si>
    <t>1. 在共同种子2026—2028下，SASRec各项指标的标准差较小；ActionPiece因2026、2027较早停止、2028在训练后期显著提升，三种子波动很大。
2. 当前表应解读为“本次复现实验结果”，不能据此直接断言ActionPiece模型本身弱于SASRec；ActionPiece结果仍属阶段性结果。
3. 训练时间采用“训练＋逐轮验证＋早停选模”墙钟口径。ActionPiece用总运行时间扣除最终测试时间进行换算；推理延迟均为完整测试评估的毫秒/用户。
4. SASRec运行于RTX 4090，ActionPiece运行于A800 80GB，且两者计算图与评估机制不同，因此耗时仅作工程记录，不作为严格的模型效率排名。
5. 中期报告中的ActionPiece 15轮旧结果已被本次正式运行更新，不应与本表混用。</t>
  </si>
  <si>
    <t>报告中可直接使用的描述</t>
  </si>
  <si>
    <t>为保证对比口径一致，本项目在Amazon Sports and Outdoors数据集上，采用leave-last-out划分和全物品评估，对SASRec与ActionPiece在共同随机种子2026、2027、2028下的结果进行了统一汇总。评价指标包括NDCG@5/10、Recall/HR@5/10、训练选模时间和完整推理延迟，均报告均值±样本标准差。SASRec三种子结果较稳定；ActionPiece不同种子的收敛时间差异较大，其中seed 2026和2027可能在后期性能提升前触发早停，seed 2028训练至200轮后取得明显提升。因此，当前ActionPiece结果作为阶段性复现结果保留，统一表用于记录现阶段真实实验结果，不将其解释为模型能力的最终比较结论。训练耗时还受到GPU型号和模型计算方式差异影响，仅用于工程复现记录。</t>
  </si>
  <si>
    <t>SASRec 与 ActionPiece 共同种子原始实验数据</t>
  </si>
  <si>
    <t>随机种子</t>
  </si>
  <si>
    <t>最佳轮次</t>
  </si>
  <si>
    <t>停止轮次</t>
  </si>
  <si>
    <t>原始训练计时（秒）</t>
  </si>
  <si>
    <t>最终测试时间（秒）</t>
  </si>
  <si>
    <t>统一训练选模时间（秒）</t>
  </si>
  <si>
    <t>统一训练选模时间（小时）</t>
  </si>
  <si>
    <t>评估用户数</t>
  </si>
  <si>
    <t>物品总数</t>
  </si>
  <si>
    <t>GPU</t>
  </si>
  <si>
    <t>结果来源</t>
  </si>
  <si>
    <t>收敛说明</t>
  </si>
  <si>
    <t>计时换算</t>
  </si>
  <si>
    <t>NVIDIA GeForce RTX 4090</t>
  </si>
  <si>
    <t>SASRec任务一/05_runs/seed_2026/test_results.json</t>
  </si>
  <si>
    <t>三种子均按验证集早停完成，结果较稳定</t>
  </si>
  <si>
    <t>原始计时已是训练＋逐轮验证＋早停选模墙钟时间</t>
  </si>
  <si>
    <t>SASRec任务一/05_runs/seed_2027/test_results.json</t>
  </si>
  <si>
    <t>SASRec任务一/05_runs/seed_2028/test_results.json</t>
  </si>
  <si>
    <t>NVIDIA A800 80GB PCIe</t>
  </si>
  <si>
    <t>ActionPiece任务二/02_results/original_results/seed2026</t>
  </si>
  <si>
    <t>在后期提升出现前可能触发早停；尚不能确认充分收敛</t>
  </si>
  <si>
    <t>总运行墙钟时间－最终测试时间，得到训练＋验证＋早停选模近似墙钟时间</t>
  </si>
  <si>
    <t>ActionPiece任务二/02_results/original_results/seed2027</t>
  </si>
  <si>
    <t>ActionPiece任务二/02_results/original_results/seed2028</t>
  </si>
  <si>
    <t>训练至200轮，最佳轮次189；基本充分训练</t>
  </si>
  <si>
    <t>统计计算（共同种子 2026、2027、2028）</t>
  </si>
  <si>
    <t>指标</t>
  </si>
  <si>
    <t>均值</t>
  </si>
  <si>
    <t>样本标准差</t>
  </si>
  <si>
    <t>实验口径、指标定义与解释边界</t>
  </si>
  <si>
    <t>项目</t>
  </si>
  <si>
    <t>统一口径</t>
  </si>
  <si>
    <t>两种方法实际情况</t>
  </si>
  <si>
    <t>判断</t>
  </si>
  <si>
    <t>数据集</t>
  </si>
  <si>
    <t>Amazon Reviews 2014 / Sports and Outdoors</t>
  </si>
  <si>
    <t>用户35,598；物品18,357</t>
  </si>
  <si>
    <t>一致</t>
  </si>
  <si>
    <t>划分</t>
  </si>
  <si>
    <t>leave-last-out：最后一次测试、倒数第二次验证</t>
  </si>
  <si>
    <t>SASRec与ActionPiece均使用该划分</t>
  </si>
  <si>
    <t>评估</t>
  </si>
  <si>
    <t>全物品评估</t>
  </si>
  <si>
    <t>均对18,357件物品进行完整候选评估</t>
  </si>
  <si>
    <t>共同种子</t>
  </si>
  <si>
    <t>2026、2027、2028</t>
  </si>
  <si>
    <t>统一表仅使用三个共同种子</t>
  </si>
  <si>
    <t>NDCG@K</t>
  </si>
  <si>
    <t>按测试目标物品在Top-K中的折损增益计算</t>
  </si>
  <si>
    <t>K=5、10</t>
  </si>
  <si>
    <t>Recall/HR@K</t>
  </si>
  <si>
    <t>每用户单一测试目标时，Recall@K与HR@K数值等价</t>
  </si>
  <si>
    <t>训练时间</t>
  </si>
  <si>
    <t>训练＋逐轮验证＋早停选模墙钟时间</t>
  </si>
  <si>
    <t>SASRec直接取selection_wall_seconds；ActionPiece取total_run_seconds-test_eval_seconds</t>
  </si>
  <si>
    <t>最接近可比</t>
  </si>
  <si>
    <t>推理延迟</t>
  </si>
  <si>
    <t>完整测试评估墙钟时间÷评估用户数</t>
  </si>
  <si>
    <t>包含序列准备、全物品打分/生成、Top-K与指标累计</t>
  </si>
  <si>
    <t>一致定义</t>
  </si>
  <si>
    <t>统计</t>
  </si>
  <si>
    <t>共同种子上的算术均值±样本标准差</t>
  </si>
  <si>
    <t>Excel公式AVERAGE与STDEV.S</t>
  </si>
  <si>
    <t>硬件</t>
  </si>
  <si>
    <t>仅记录，不据此严格排名效率</t>
  </si>
  <si>
    <t>SASRec：RTX 4090；ActionPiece：A800 80GB</t>
  </si>
  <si>
    <t>不同</t>
  </si>
  <si>
    <t>如实记录当前复现结果</t>
  </si>
  <si>
    <t>SASRec稳定；ActionPiece充分训练核验部分通过</t>
  </si>
  <si>
    <t>需注明</t>
  </si>
  <si>
    <t>结果来源与可追溯性</t>
  </si>
  <si>
    <t>内容</t>
  </si>
  <si>
    <t>本工作簿位置</t>
  </si>
  <si>
    <t>原始来源</t>
  </si>
  <si>
    <t>SASRec逐种子指标与计时</t>
  </si>
  <si>
    <t>sasrec_sports_task1_final_delivery_v2/06_results/sasrec_per_seed_results.csv</t>
  </si>
  <si>
    <t>SASRec计时定义</t>
  </si>
  <si>
    <t>sasrec_sports_task1_final_delivery_v2/01_protocol/timing_definitions.md</t>
  </si>
  <si>
    <t>ActionPiece逐种子指标与计时</t>
  </si>
  <si>
    <t>actionpiece_task2_delivery/02_results/actionpiece_per_seed_results.csv</t>
  </si>
  <si>
    <t>ActionPiece停止轮次与充分性</t>
  </si>
  <si>
    <t>actionpiece_task2_delivery/02_results/actionpiece_training_time.csv</t>
  </si>
  <si>
    <t>ActionPiece核验结论</t>
  </si>
  <si>
    <t>actionpiece_task2_delivery/01_report/actionpiece_task2_report.txt</t>
  </si>
  <si>
    <t>1. 在共同种子2026—2028下，SASRec各项指标的标准差较小；ActionPiece因2026、2027较早停止、2028在训练后期显著提升，三种子波动很大。
2. 训练时间采用“训练＋逐轮验证＋早停选模”墙钟口径。ActionPiece用总运行时间扣除最终测试时间进行换算；推理延迟均为完整测试评估的毫秒/用户。
3. SASRec运行于RTX 4090，ActionPiece运行于A800 80GB，且两者计算图与评估机制不同，因此耗时仅作工程记录，不作为严格的模型效率排名。</t>
    <phoneticPr fontId="5" type="noConversion"/>
  </si>
  <si>
    <t>为保证对比口径一致，本项目在Amazon Sports and Outdoors数据集上，采用leave-last-out划分和全物品评估，对SASRec与ActionPiece在共同随机种子2026、2027、2028下的结果进行了统一汇总。评价指标包括NDCG@5/10、Recall/HR@5/10、训练选模时间和完整推理延迟，均报告均值±样本标准差。SASRec三种子结果较稳定；ActionPiece不同种子的收敛时间差异较大，其中seed 2026和2027可能在后期性能提升前触发早停，seed 2028训练至200轮停止，约在第53轮后开始明显提升，最佳验证结果出现在第189轮。因此，当前ActionPiece结果作为阶段性复现结果保留，统一表用于记录现阶段真实实验结果，不将其解释为模型能力的最终比较结论。训练耗时还受到GPU型号和模型计算方式差异影响，仅用于工程复现记录。</t>
    <phoneticPr fontId="5" type="noConversion"/>
  </si>
  <si>
    <t>统一汇总，结果状态与使用限制</t>
    <phoneticPr fontId="5" type="noConversion"/>
  </si>
  <si>
    <t>共同种子原始数据，第6—8行</t>
    <phoneticPr fontId="5" type="noConversion"/>
  </si>
  <si>
    <t>共同种子原始数据，第3—5行</t>
    <phoneticPr fontId="5" type="noConversion"/>
  </si>
  <si>
    <t>口径与说明，训练时间、推理延迟</t>
    <phoneticPr fontId="5" type="noConversion"/>
  </si>
  <si>
    <t>共同种子原始数据，停止轮次、收敛说明</t>
    <phoneticPr fontId="5" type="noConversion"/>
  </si>
  <si>
    <t>结果来源与可追溯性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</si>
</sst>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"/>
    <numFmt numFmtId="177" formatCode="0.000"/>
    <numFmt numFmtId="178" formatCode="0.0000"/>
  </numFmts>
  <fonts count="6">
    <font>
      <sz val="11"/>
      <name val="Carlito"/>
    </font>
    <font>
      <b/>
      <sz val="10"/>
      <color rgb="FF1F2937"/>
      <name val="Microsoft YaHei"/>
      <family val="2"/>
      <charset val="134"/>
    </font>
    <font>
      <i/>
      <sz val="10"/>
      <color rgb="FF1F2937"/>
      <name val="Microsoft YaHei"/>
      <family val="2"/>
      <charset val="134"/>
    </font>
    <font>
      <sz val="10"/>
      <color rgb="FF1F2937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F7F3E8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7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D9E2E8"/>
      </right>
      <top/>
      <bottom style="thin">
        <color rgb="FFD9E2E8"/>
      </bottom>
      <diagonal/>
    </border>
    <border>
      <left style="thin">
        <color rgb="FFD9E2E8"/>
      </left>
      <right style="thin">
        <color rgb="FFD9E2E8"/>
      </right>
      <top/>
      <bottom style="thin">
        <color rgb="FFD9E2E8"/>
      </bottom>
      <diagonal/>
    </border>
    <border>
      <left style="thin">
        <color rgb="FFD9E2E8"/>
      </left>
      <right/>
      <top/>
      <bottom style="thin">
        <color rgb="FFD9E2E8"/>
      </bottom>
      <diagonal/>
    </border>
    <border>
      <left/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D9E2E8"/>
      </left>
      <right/>
      <top style="thin">
        <color rgb="FFD9E2E8"/>
      </top>
      <bottom style="thin">
        <color rgb="FFD9E2E8"/>
      </bottom>
      <diagonal/>
    </border>
    <border>
      <left/>
      <right style="thin">
        <color rgb="FFD9E2E8"/>
      </right>
      <top style="thin">
        <color rgb="FFD9E2E8"/>
      </top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/>
      <diagonal/>
    </border>
    <border>
      <left style="thin">
        <color rgb="FFD9E2E8"/>
      </left>
      <right/>
      <top style="thin">
        <color rgb="FFD9E2E8"/>
      </top>
      <bottom/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/>
      <diagonal/>
    </border>
    <border>
      <left/>
      <right style="thin">
        <color rgb="FFD6B656"/>
      </right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n">
        <color rgb="FFA9D18E"/>
      </left>
      <right/>
      <top style="thin">
        <color rgb="FFA9D18E"/>
      </top>
      <bottom/>
      <diagonal/>
    </border>
    <border>
      <left/>
      <right/>
      <top style="thin">
        <color rgb="FFA9D18E"/>
      </top>
      <bottom/>
      <diagonal/>
    </border>
    <border>
      <left/>
      <right style="thin">
        <color rgb="FFA9D18E"/>
      </right>
      <top style="thin">
        <color rgb="FFA9D18E"/>
      </top>
      <bottom/>
      <diagonal/>
    </border>
    <border>
      <left style="thin">
        <color rgb="FFA9D18E"/>
      </left>
      <right/>
      <top/>
      <bottom/>
      <diagonal/>
    </border>
    <border>
      <left/>
      <right style="thin">
        <color rgb="FFA9D18E"/>
      </right>
      <top/>
      <bottom/>
      <diagonal/>
    </border>
    <border>
      <left style="thin">
        <color rgb="FFA9D18E"/>
      </left>
      <right/>
      <top/>
      <bottom style="thin">
        <color rgb="FFA9D18E"/>
      </bottom>
      <diagonal/>
    </border>
    <border>
      <left/>
      <right/>
      <top/>
      <bottom style="thin">
        <color rgb="FFA9D18E"/>
      </bottom>
      <diagonal/>
    </border>
    <border>
      <left/>
      <right style="thin">
        <color rgb="FFA9D18E"/>
      </right>
      <top/>
      <bottom style="thin">
        <color rgb="FFA9D18E"/>
      </bottom>
      <diagonal/>
    </border>
  </borders>
  <cellStyleXfs count="2">
    <xf numFmtId="0" fontId="0" fillId="0" borderId="0"/>
    <xf numFmtId="0" fontId="4" fillId="0" borderId="0"/>
  </cellStyleXfs>
  <cellXfs count="69">
    <xf numFmtId="0" fontId="0" fillId="0" borderId="0" xfId="0"/>
    <xf numFmtId="0" fontId="3" fillId="0" borderId="0" xfId="1" applyFont="1"/>
    <xf numFmtId="0" fontId="1" fillId="3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vertical="center" wrapText="1"/>
    </xf>
    <xf numFmtId="0" fontId="3" fillId="4" borderId="3" xfId="1" applyFont="1" applyFill="1" applyBorder="1" applyAlignment="1">
      <alignment vertical="center" wrapText="1"/>
    </xf>
    <xf numFmtId="0" fontId="3" fillId="4" borderId="4" xfId="1" applyFont="1" applyFill="1" applyBorder="1" applyAlignment="1">
      <alignment vertical="center" wrapText="1"/>
    </xf>
    <xf numFmtId="0" fontId="3" fillId="5" borderId="8" xfId="1" applyFont="1" applyFill="1" applyBorder="1" applyAlignment="1">
      <alignment vertical="center" wrapText="1"/>
    </xf>
    <xf numFmtId="0" fontId="3" fillId="5" borderId="9" xfId="1" applyFont="1" applyFill="1" applyBorder="1" applyAlignment="1">
      <alignment vertical="center" wrapText="1"/>
    </xf>
    <xf numFmtId="0" fontId="3" fillId="5" borderId="10" xfId="1" applyFont="1" applyFill="1" applyBorder="1" applyAlignment="1">
      <alignment vertical="center" wrapText="1"/>
    </xf>
    <xf numFmtId="1" fontId="3" fillId="4" borderId="3" xfId="1" applyNumberFormat="1" applyFont="1" applyFill="1" applyBorder="1" applyAlignment="1">
      <alignment vertical="center" wrapText="1"/>
    </xf>
    <xf numFmtId="176" fontId="3" fillId="4" borderId="3" xfId="1" applyNumberFormat="1" applyFont="1" applyFill="1" applyBorder="1" applyAlignment="1">
      <alignment vertical="center" wrapText="1"/>
    </xf>
    <xf numFmtId="177" fontId="3" fillId="4" borderId="3" xfId="1" applyNumberFormat="1" applyFont="1" applyFill="1" applyBorder="1" applyAlignment="1">
      <alignment vertical="center" wrapText="1"/>
    </xf>
    <xf numFmtId="178" fontId="3" fillId="4" borderId="3" xfId="1" applyNumberFormat="1" applyFont="1" applyFill="1" applyBorder="1" applyAlignment="1">
      <alignment vertical="center" wrapText="1"/>
    </xf>
    <xf numFmtId="3" fontId="3" fillId="4" borderId="3" xfId="1" applyNumberFormat="1" applyFont="1" applyFill="1" applyBorder="1" applyAlignment="1">
      <alignment vertical="center" wrapText="1"/>
    </xf>
    <xf numFmtId="0" fontId="3" fillId="4" borderId="5" xfId="1" applyFont="1" applyFill="1" applyBorder="1" applyAlignment="1">
      <alignment vertical="center" wrapText="1"/>
    </xf>
    <xf numFmtId="1" fontId="3" fillId="4" borderId="6" xfId="1" applyNumberFormat="1" applyFont="1" applyFill="1" applyBorder="1" applyAlignment="1">
      <alignment vertical="center" wrapText="1"/>
    </xf>
    <xf numFmtId="176" fontId="3" fillId="4" borderId="6" xfId="1" applyNumberFormat="1" applyFont="1" applyFill="1" applyBorder="1" applyAlignment="1">
      <alignment vertical="center" wrapText="1"/>
    </xf>
    <xf numFmtId="177" fontId="3" fillId="4" borderId="6" xfId="1" applyNumberFormat="1" applyFont="1" applyFill="1" applyBorder="1" applyAlignment="1">
      <alignment vertical="center" wrapText="1"/>
    </xf>
    <xf numFmtId="178" fontId="3" fillId="4" borderId="6" xfId="1" applyNumberFormat="1" applyFont="1" applyFill="1" applyBorder="1" applyAlignment="1">
      <alignment vertical="center" wrapText="1"/>
    </xf>
    <xf numFmtId="3" fontId="3" fillId="4" borderId="6" xfId="1" applyNumberFormat="1" applyFont="1" applyFill="1" applyBorder="1" applyAlignment="1">
      <alignment vertical="center" wrapText="1"/>
    </xf>
    <xf numFmtId="0" fontId="3" fillId="4" borderId="6" xfId="1" applyFont="1" applyFill="1" applyBorder="1" applyAlignment="1">
      <alignment vertical="center" wrapText="1"/>
    </xf>
    <xf numFmtId="0" fontId="3" fillId="4" borderId="7" xfId="1" applyFont="1" applyFill="1" applyBorder="1" applyAlignment="1">
      <alignment vertical="center" wrapText="1"/>
    </xf>
    <xf numFmtId="0" fontId="3" fillId="5" borderId="5" xfId="1" applyFont="1" applyFill="1" applyBorder="1" applyAlignment="1">
      <alignment vertical="center" wrapText="1"/>
    </xf>
    <xf numFmtId="1" fontId="3" fillId="5" borderId="6" xfId="1" applyNumberFormat="1" applyFont="1" applyFill="1" applyBorder="1" applyAlignment="1">
      <alignment vertical="center" wrapText="1"/>
    </xf>
    <xf numFmtId="176" fontId="3" fillId="5" borderId="6" xfId="1" applyNumberFormat="1" applyFont="1" applyFill="1" applyBorder="1" applyAlignment="1">
      <alignment vertical="center" wrapText="1"/>
    </xf>
    <xf numFmtId="177" fontId="3" fillId="5" borderId="6" xfId="1" applyNumberFormat="1" applyFont="1" applyFill="1" applyBorder="1" applyAlignment="1">
      <alignment vertical="center" wrapText="1"/>
    </xf>
    <xf numFmtId="178" fontId="3" fillId="5" borderId="6" xfId="1" applyNumberFormat="1" applyFont="1" applyFill="1" applyBorder="1" applyAlignment="1">
      <alignment vertical="center" wrapText="1"/>
    </xf>
    <xf numFmtId="3" fontId="3" fillId="5" borderId="6" xfId="1" applyNumberFormat="1" applyFont="1" applyFill="1" applyBorder="1" applyAlignment="1">
      <alignment vertical="center" wrapText="1"/>
    </xf>
    <xf numFmtId="0" fontId="3" fillId="5" borderId="6" xfId="1" applyFont="1" applyFill="1" applyBorder="1" applyAlignment="1">
      <alignment vertical="center" wrapText="1"/>
    </xf>
    <xf numFmtId="0" fontId="3" fillId="5" borderId="7" xfId="1" applyFont="1" applyFill="1" applyBorder="1" applyAlignment="1">
      <alignment vertical="center" wrapText="1"/>
    </xf>
    <xf numFmtId="1" fontId="3" fillId="5" borderId="9" xfId="1" applyNumberFormat="1" applyFont="1" applyFill="1" applyBorder="1" applyAlignment="1">
      <alignment vertical="center" wrapText="1"/>
    </xf>
    <xf numFmtId="176" fontId="3" fillId="5" borderId="9" xfId="1" applyNumberFormat="1" applyFont="1" applyFill="1" applyBorder="1" applyAlignment="1">
      <alignment vertical="center" wrapText="1"/>
    </xf>
    <xf numFmtId="177" fontId="3" fillId="5" borderId="9" xfId="1" applyNumberFormat="1" applyFont="1" applyFill="1" applyBorder="1" applyAlignment="1">
      <alignment vertical="center" wrapText="1"/>
    </xf>
    <xf numFmtId="178" fontId="3" fillId="5" borderId="9" xfId="1" applyNumberFormat="1" applyFont="1" applyFill="1" applyBorder="1" applyAlignment="1">
      <alignment vertical="center" wrapText="1"/>
    </xf>
    <xf numFmtId="3" fontId="3" fillId="5" borderId="9" xfId="1" applyNumberFormat="1" applyFont="1" applyFill="1" applyBorder="1" applyAlignment="1">
      <alignment vertical="center" wrapText="1"/>
    </xf>
    <xf numFmtId="176" fontId="3" fillId="4" borderId="4" xfId="1" applyNumberFormat="1" applyFont="1" applyFill="1" applyBorder="1" applyAlignment="1">
      <alignment vertical="center" wrapText="1"/>
    </xf>
    <xf numFmtId="176" fontId="3" fillId="5" borderId="7" xfId="1" applyNumberFormat="1" applyFont="1" applyFill="1" applyBorder="1" applyAlignment="1">
      <alignment vertical="center" wrapText="1"/>
    </xf>
    <xf numFmtId="176" fontId="3" fillId="4" borderId="7" xfId="1" applyNumberFormat="1" applyFont="1" applyFill="1" applyBorder="1" applyAlignment="1">
      <alignment vertical="center" wrapText="1"/>
    </xf>
    <xf numFmtId="176" fontId="3" fillId="5" borderId="10" xfId="1" applyNumberFormat="1" applyFont="1" applyFill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vertical="center" wrapText="1"/>
    </xf>
    <xf numFmtId="0" fontId="3" fillId="0" borderId="9" xfId="1" applyFont="1" applyBorder="1" applyAlignment="1">
      <alignment vertical="center" wrapText="1"/>
    </xf>
    <xf numFmtId="0" fontId="3" fillId="0" borderId="10" xfId="1" applyFont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2" fillId="6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left"/>
    </xf>
    <xf numFmtId="0" fontId="3" fillId="7" borderId="11" xfId="1" applyFont="1" applyFill="1" applyBorder="1" applyAlignment="1">
      <alignment vertical="top" wrapText="1"/>
    </xf>
    <xf numFmtId="0" fontId="3" fillId="7" borderId="12" xfId="1" applyFont="1" applyFill="1" applyBorder="1" applyAlignment="1">
      <alignment vertical="top" wrapText="1"/>
    </xf>
    <xf numFmtId="0" fontId="3" fillId="7" borderId="13" xfId="1" applyFont="1" applyFill="1" applyBorder="1" applyAlignment="1">
      <alignment vertical="top" wrapText="1"/>
    </xf>
    <xf numFmtId="0" fontId="3" fillId="7" borderId="14" xfId="1" applyFont="1" applyFill="1" applyBorder="1" applyAlignment="1">
      <alignment vertical="top" wrapText="1"/>
    </xf>
    <xf numFmtId="0" fontId="3" fillId="7" borderId="0" xfId="1" applyFont="1" applyFill="1" applyAlignment="1">
      <alignment vertical="top" wrapText="1"/>
    </xf>
    <xf numFmtId="0" fontId="3" fillId="7" borderId="15" xfId="1" applyFont="1" applyFill="1" applyBorder="1" applyAlignment="1">
      <alignment vertical="top" wrapText="1"/>
    </xf>
    <xf numFmtId="0" fontId="3" fillId="7" borderId="16" xfId="1" applyFont="1" applyFill="1" applyBorder="1" applyAlignment="1">
      <alignment vertical="top" wrapText="1"/>
    </xf>
    <xf numFmtId="0" fontId="3" fillId="7" borderId="17" xfId="1" applyFont="1" applyFill="1" applyBorder="1" applyAlignment="1">
      <alignment vertical="top" wrapText="1"/>
    </xf>
    <xf numFmtId="0" fontId="3" fillId="7" borderId="18" xfId="1" applyFont="1" applyFill="1" applyBorder="1" applyAlignment="1">
      <alignment vertical="top" wrapText="1"/>
    </xf>
    <xf numFmtId="0" fontId="3" fillId="8" borderId="19" xfId="1" applyFont="1" applyFill="1" applyBorder="1" applyAlignment="1">
      <alignment vertical="top" wrapText="1"/>
    </xf>
    <xf numFmtId="0" fontId="3" fillId="8" borderId="20" xfId="1" applyFont="1" applyFill="1" applyBorder="1" applyAlignment="1">
      <alignment vertical="top" wrapText="1"/>
    </xf>
    <xf numFmtId="0" fontId="3" fillId="8" borderId="21" xfId="1" applyFont="1" applyFill="1" applyBorder="1" applyAlignment="1">
      <alignment vertical="top" wrapText="1"/>
    </xf>
    <xf numFmtId="0" fontId="3" fillId="8" borderId="22" xfId="1" applyFont="1" applyFill="1" applyBorder="1" applyAlignment="1">
      <alignment vertical="top" wrapText="1"/>
    </xf>
    <xf numFmtId="0" fontId="3" fillId="8" borderId="0" xfId="1" applyFont="1" applyFill="1" applyAlignment="1">
      <alignment vertical="top" wrapText="1"/>
    </xf>
    <xf numFmtId="0" fontId="3" fillId="8" borderId="23" xfId="1" applyFont="1" applyFill="1" applyBorder="1" applyAlignment="1">
      <alignment vertical="top" wrapText="1"/>
    </xf>
    <xf numFmtId="0" fontId="3" fillId="8" borderId="24" xfId="1" applyFont="1" applyFill="1" applyBorder="1" applyAlignment="1">
      <alignment vertical="top" wrapText="1"/>
    </xf>
    <xf numFmtId="0" fontId="3" fillId="8" borderId="25" xfId="1" applyFont="1" applyFill="1" applyBorder="1" applyAlignment="1">
      <alignment vertical="top" wrapText="1"/>
    </xf>
    <xf numFmtId="0" fontId="3" fillId="8" borderId="26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3">
    <dxf>
      <font>
        <b/>
        <color rgb="FF7F6000"/>
      </font>
      <fill>
        <patternFill>
          <bgColor rgb="FFFFF2CC"/>
        </patternFill>
      </fill>
    </dxf>
    <dxf>
      <font>
        <b/>
        <color rgb="FF843C0C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showGridLines="0" workbookViewId="0">
      <selection activeCell="C6" sqref="C6"/>
    </sheetView>
  </sheetViews>
  <sheetFormatPr defaultRowHeight="13.5"/>
  <cols>
    <col min="1" max="1" width="27" customWidth="1"/>
    <col min="2" max="5" width="22" customWidth="1"/>
    <col min="6" max="7" width="24" customWidth="1"/>
    <col min="8" max="8" width="27" customWidth="1"/>
    <col min="9" max="9" width="36" customWidth="1"/>
  </cols>
  <sheetData>
    <row r="1" spans="1:9" ht="34.049999999999997" customHeight="1">
      <c r="A1" s="48" t="s">
        <v>0</v>
      </c>
      <c r="B1" s="48" t="s">
        <v>0</v>
      </c>
      <c r="C1" s="48" t="s">
        <v>0</v>
      </c>
      <c r="D1" s="48" t="s">
        <v>0</v>
      </c>
      <c r="E1" s="48" t="s">
        <v>0</v>
      </c>
      <c r="F1" s="48" t="s">
        <v>0</v>
      </c>
      <c r="G1" s="48" t="s">
        <v>0</v>
      </c>
      <c r="H1" s="48" t="s">
        <v>0</v>
      </c>
      <c r="I1" s="48" t="s">
        <v>0</v>
      </c>
    </row>
    <row r="2" spans="1:9" ht="28.05" customHeight="1">
      <c r="A2" s="49" t="s">
        <v>1</v>
      </c>
      <c r="B2" s="49" t="s">
        <v>1</v>
      </c>
      <c r="C2" s="49" t="s">
        <v>1</v>
      </c>
      <c r="D2" s="49" t="s">
        <v>1</v>
      </c>
      <c r="E2" s="49" t="s">
        <v>1</v>
      </c>
      <c r="F2" s="49" t="s">
        <v>1</v>
      </c>
      <c r="G2" s="49" t="s">
        <v>1</v>
      </c>
      <c r="H2" s="49" t="s">
        <v>1</v>
      </c>
      <c r="I2" s="49" t="s">
        <v>1</v>
      </c>
    </row>
    <row r="3" spans="1:9" ht="14.25">
      <c r="A3" s="1"/>
      <c r="B3" s="1"/>
      <c r="C3" s="1"/>
      <c r="D3" s="1"/>
      <c r="E3" s="1"/>
      <c r="F3" s="1"/>
      <c r="G3" s="1"/>
      <c r="H3" s="1"/>
      <c r="I3" s="1"/>
    </row>
    <row r="4" spans="1:9" ht="48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48" customHeight="1">
      <c r="A5" s="3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5" t="s">
        <v>19</v>
      </c>
    </row>
    <row r="6" spans="1:9" ht="48" customHeight="1">
      <c r="A6" s="6" t="s">
        <v>20</v>
      </c>
      <c r="B6" s="7" t="s">
        <v>21</v>
      </c>
      <c r="C6" s="7" t="s">
        <v>22</v>
      </c>
      <c r="D6" s="7" t="s">
        <v>23</v>
      </c>
      <c r="E6" s="7" t="s">
        <v>24</v>
      </c>
      <c r="F6" s="7" t="s">
        <v>25</v>
      </c>
      <c r="G6" s="7" t="s">
        <v>26</v>
      </c>
      <c r="H6" s="7" t="s">
        <v>27</v>
      </c>
      <c r="I6" s="8" t="s">
        <v>28</v>
      </c>
    </row>
    <row r="7" spans="1:9" ht="14.25">
      <c r="A7" s="1"/>
      <c r="B7" s="1"/>
      <c r="C7" s="1"/>
      <c r="D7" s="1"/>
      <c r="E7" s="1"/>
      <c r="F7" s="1"/>
      <c r="G7" s="1"/>
      <c r="H7" s="1"/>
      <c r="I7" s="1"/>
    </row>
    <row r="8" spans="1:9" ht="25.05" customHeight="1">
      <c r="A8" s="50" t="s">
        <v>29</v>
      </c>
      <c r="B8" s="50" t="s">
        <v>29</v>
      </c>
      <c r="C8" s="50" t="s">
        <v>29</v>
      </c>
      <c r="D8" s="50" t="s">
        <v>29</v>
      </c>
      <c r="E8" s="50" t="s">
        <v>29</v>
      </c>
      <c r="F8" s="50" t="s">
        <v>29</v>
      </c>
      <c r="G8" s="50" t="s">
        <v>29</v>
      </c>
      <c r="H8" s="50" t="s">
        <v>29</v>
      </c>
      <c r="I8" s="50" t="s">
        <v>29</v>
      </c>
    </row>
    <row r="9" spans="1:9">
      <c r="A9" s="51" t="s">
        <v>119</v>
      </c>
      <c r="B9" s="52" t="s">
        <v>30</v>
      </c>
      <c r="C9" s="52" t="s">
        <v>30</v>
      </c>
      <c r="D9" s="52" t="s">
        <v>30</v>
      </c>
      <c r="E9" s="52" t="s">
        <v>30</v>
      </c>
      <c r="F9" s="52" t="s">
        <v>30</v>
      </c>
      <c r="G9" s="52" t="s">
        <v>30</v>
      </c>
      <c r="H9" s="52" t="s">
        <v>30</v>
      </c>
      <c r="I9" s="53" t="s">
        <v>30</v>
      </c>
    </row>
    <row r="10" spans="1:9">
      <c r="A10" s="54" t="s">
        <v>30</v>
      </c>
      <c r="B10" s="55" t="s">
        <v>30</v>
      </c>
      <c r="C10" s="55" t="s">
        <v>30</v>
      </c>
      <c r="D10" s="55" t="s">
        <v>30</v>
      </c>
      <c r="E10" s="55" t="s">
        <v>30</v>
      </c>
      <c r="F10" s="55" t="s">
        <v>30</v>
      </c>
      <c r="G10" s="55" t="s">
        <v>30</v>
      </c>
      <c r="H10" s="55" t="s">
        <v>30</v>
      </c>
      <c r="I10" s="56" t="s">
        <v>30</v>
      </c>
    </row>
    <row r="11" spans="1:9">
      <c r="A11" s="54" t="s">
        <v>30</v>
      </c>
      <c r="B11" s="55" t="s">
        <v>30</v>
      </c>
      <c r="C11" s="55" t="s">
        <v>30</v>
      </c>
      <c r="D11" s="55" t="s">
        <v>30</v>
      </c>
      <c r="E11" s="55" t="s">
        <v>30</v>
      </c>
      <c r="F11" s="55" t="s">
        <v>30</v>
      </c>
      <c r="G11" s="55" t="s">
        <v>30</v>
      </c>
      <c r="H11" s="55" t="s">
        <v>30</v>
      </c>
      <c r="I11" s="56" t="s">
        <v>30</v>
      </c>
    </row>
    <row r="12" spans="1:9">
      <c r="A12" s="54" t="s">
        <v>30</v>
      </c>
      <c r="B12" s="55" t="s">
        <v>30</v>
      </c>
      <c r="C12" s="55" t="s">
        <v>30</v>
      </c>
      <c r="D12" s="55" t="s">
        <v>30</v>
      </c>
      <c r="E12" s="55" t="s">
        <v>30</v>
      </c>
      <c r="F12" s="55" t="s">
        <v>30</v>
      </c>
      <c r="G12" s="55" t="s">
        <v>30</v>
      </c>
      <c r="H12" s="55" t="s">
        <v>30</v>
      </c>
      <c r="I12" s="56" t="s">
        <v>30</v>
      </c>
    </row>
    <row r="13" spans="1:9">
      <c r="A13" s="57" t="s">
        <v>30</v>
      </c>
      <c r="B13" s="58" t="s">
        <v>30</v>
      </c>
      <c r="C13" s="58" t="s">
        <v>30</v>
      </c>
      <c r="D13" s="58" t="s">
        <v>30</v>
      </c>
      <c r="E13" s="58" t="s">
        <v>30</v>
      </c>
      <c r="F13" s="58" t="s">
        <v>30</v>
      </c>
      <c r="G13" s="58" t="s">
        <v>30</v>
      </c>
      <c r="H13" s="58" t="s">
        <v>30</v>
      </c>
      <c r="I13" s="59" t="s">
        <v>30</v>
      </c>
    </row>
    <row r="14" spans="1:9" ht="14.25">
      <c r="A14" s="1"/>
      <c r="B14" s="1"/>
      <c r="C14" s="1"/>
      <c r="D14" s="1"/>
      <c r="E14" s="1"/>
      <c r="F14" s="1"/>
      <c r="G14" s="1"/>
      <c r="H14" s="1"/>
      <c r="I14" s="1"/>
    </row>
    <row r="15" spans="1:9" ht="25.05" customHeight="1">
      <c r="A15" s="50" t="s">
        <v>31</v>
      </c>
      <c r="B15" s="50" t="s">
        <v>31</v>
      </c>
      <c r="C15" s="50" t="s">
        <v>31</v>
      </c>
      <c r="D15" s="50" t="s">
        <v>31</v>
      </c>
      <c r="E15" s="50" t="s">
        <v>31</v>
      </c>
      <c r="F15" s="50" t="s">
        <v>31</v>
      </c>
      <c r="G15" s="50" t="s">
        <v>31</v>
      </c>
      <c r="H15" s="50" t="s">
        <v>31</v>
      </c>
      <c r="I15" s="50" t="s">
        <v>31</v>
      </c>
    </row>
    <row r="16" spans="1:9">
      <c r="A16" s="60" t="s">
        <v>120</v>
      </c>
      <c r="B16" s="61" t="s">
        <v>32</v>
      </c>
      <c r="C16" s="61" t="s">
        <v>32</v>
      </c>
      <c r="D16" s="61" t="s">
        <v>32</v>
      </c>
      <c r="E16" s="61" t="s">
        <v>32</v>
      </c>
      <c r="F16" s="61" t="s">
        <v>32</v>
      </c>
      <c r="G16" s="61" t="s">
        <v>32</v>
      </c>
      <c r="H16" s="61" t="s">
        <v>32</v>
      </c>
      <c r="I16" s="62" t="s">
        <v>32</v>
      </c>
    </row>
    <row r="17" spans="1:9">
      <c r="A17" s="63" t="s">
        <v>32</v>
      </c>
      <c r="B17" s="64" t="s">
        <v>32</v>
      </c>
      <c r="C17" s="64" t="s">
        <v>32</v>
      </c>
      <c r="D17" s="64" t="s">
        <v>32</v>
      </c>
      <c r="E17" s="64" t="s">
        <v>32</v>
      </c>
      <c r="F17" s="64" t="s">
        <v>32</v>
      </c>
      <c r="G17" s="64" t="s">
        <v>32</v>
      </c>
      <c r="H17" s="64" t="s">
        <v>32</v>
      </c>
      <c r="I17" s="65" t="s">
        <v>32</v>
      </c>
    </row>
    <row r="18" spans="1:9">
      <c r="A18" s="63" t="s">
        <v>32</v>
      </c>
      <c r="B18" s="64" t="s">
        <v>32</v>
      </c>
      <c r="C18" s="64" t="s">
        <v>32</v>
      </c>
      <c r="D18" s="64" t="s">
        <v>32</v>
      </c>
      <c r="E18" s="64" t="s">
        <v>32</v>
      </c>
      <c r="F18" s="64" t="s">
        <v>32</v>
      </c>
      <c r="G18" s="64" t="s">
        <v>32</v>
      </c>
      <c r="H18" s="64" t="s">
        <v>32</v>
      </c>
      <c r="I18" s="65" t="s">
        <v>32</v>
      </c>
    </row>
    <row r="19" spans="1:9">
      <c r="A19" s="63" t="s">
        <v>32</v>
      </c>
      <c r="B19" s="64" t="s">
        <v>32</v>
      </c>
      <c r="C19" s="64" t="s">
        <v>32</v>
      </c>
      <c r="D19" s="64" t="s">
        <v>32</v>
      </c>
      <c r="E19" s="64" t="s">
        <v>32</v>
      </c>
      <c r="F19" s="64" t="s">
        <v>32</v>
      </c>
      <c r="G19" s="64" t="s">
        <v>32</v>
      </c>
      <c r="H19" s="64" t="s">
        <v>32</v>
      </c>
      <c r="I19" s="65" t="s">
        <v>32</v>
      </c>
    </row>
    <row r="20" spans="1:9">
      <c r="A20" s="63" t="s">
        <v>32</v>
      </c>
      <c r="B20" s="64" t="s">
        <v>32</v>
      </c>
      <c r="C20" s="64" t="s">
        <v>32</v>
      </c>
      <c r="D20" s="64" t="s">
        <v>32</v>
      </c>
      <c r="E20" s="64" t="s">
        <v>32</v>
      </c>
      <c r="F20" s="64" t="s">
        <v>32</v>
      </c>
      <c r="G20" s="64" t="s">
        <v>32</v>
      </c>
      <c r="H20" s="64" t="s">
        <v>32</v>
      </c>
      <c r="I20" s="65" t="s">
        <v>32</v>
      </c>
    </row>
    <row r="21" spans="1:9">
      <c r="A21" s="66" t="s">
        <v>32</v>
      </c>
      <c r="B21" s="67" t="s">
        <v>32</v>
      </c>
      <c r="C21" s="67" t="s">
        <v>32</v>
      </c>
      <c r="D21" s="67" t="s">
        <v>32</v>
      </c>
      <c r="E21" s="67" t="s">
        <v>32</v>
      </c>
      <c r="F21" s="67" t="s">
        <v>32</v>
      </c>
      <c r="G21" s="67" t="s">
        <v>32</v>
      </c>
      <c r="H21" s="67" t="s">
        <v>32</v>
      </c>
      <c r="I21" s="68" t="s">
        <v>32</v>
      </c>
    </row>
  </sheetData>
  <mergeCells count="6">
    <mergeCell ref="A16:I21"/>
    <mergeCell ref="A1:I1"/>
    <mergeCell ref="A2:I2"/>
    <mergeCell ref="A8:I8"/>
    <mergeCell ref="A9:I13"/>
    <mergeCell ref="A15:I15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"/>
  <sheetViews>
    <sheetView showGridLines="0" tabSelected="1" workbookViewId="0">
      <selection activeCell="H13" sqref="H13"/>
    </sheetView>
  </sheetViews>
  <sheetFormatPr defaultRowHeight="13.5"/>
  <cols>
    <col min="1" max="1" width="25" customWidth="1"/>
    <col min="2" max="4" width="10" customWidth="1"/>
    <col min="5" max="6" width="12" customWidth="1"/>
    <col min="7" max="8" width="14" customWidth="1"/>
    <col min="9" max="9" width="17" customWidth="1"/>
    <col min="10" max="10" width="16" customWidth="1"/>
    <col min="11" max="11" width="18" customWidth="1"/>
    <col min="12" max="12" width="19" customWidth="1"/>
    <col min="13" max="13" width="20" customWidth="1"/>
    <col min="14" max="14" width="13" customWidth="1"/>
    <col min="15" max="15" width="12" customWidth="1"/>
    <col min="16" max="16" width="25" customWidth="1"/>
    <col min="17" max="17" width="38" customWidth="1"/>
    <col min="18" max="18" width="42" customWidth="1"/>
    <col min="19" max="19" width="46" customWidth="1"/>
  </cols>
  <sheetData>
    <row r="1" spans="1:19" ht="34.049999999999997" customHeight="1">
      <c r="A1" s="48" t="s">
        <v>33</v>
      </c>
      <c r="B1" s="48" t="s">
        <v>33</v>
      </c>
      <c r="C1" s="48" t="s">
        <v>33</v>
      </c>
      <c r="D1" s="48" t="s">
        <v>33</v>
      </c>
      <c r="E1" s="48" t="s">
        <v>33</v>
      </c>
      <c r="F1" s="48" t="s">
        <v>33</v>
      </c>
      <c r="G1" s="48" t="s">
        <v>33</v>
      </c>
      <c r="H1" s="48" t="s">
        <v>33</v>
      </c>
      <c r="I1" s="48" t="s">
        <v>33</v>
      </c>
      <c r="J1" s="48" t="s">
        <v>33</v>
      </c>
      <c r="K1" s="48" t="s">
        <v>33</v>
      </c>
      <c r="L1" s="48" t="s">
        <v>33</v>
      </c>
      <c r="M1" s="48" t="s">
        <v>33</v>
      </c>
      <c r="N1" s="48" t="s">
        <v>33</v>
      </c>
      <c r="O1" s="48" t="s">
        <v>33</v>
      </c>
      <c r="P1" s="48" t="s">
        <v>33</v>
      </c>
      <c r="Q1" s="48" t="s">
        <v>33</v>
      </c>
      <c r="R1" s="48" t="s">
        <v>33</v>
      </c>
      <c r="S1" s="48" t="s">
        <v>33</v>
      </c>
    </row>
    <row r="2" spans="1:19" ht="29.25">
      <c r="A2" s="2" t="s">
        <v>2</v>
      </c>
      <c r="B2" s="2" t="s">
        <v>34</v>
      </c>
      <c r="C2" s="2" t="s">
        <v>35</v>
      </c>
      <c r="D2" s="2" t="s">
        <v>36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9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</row>
    <row r="3" spans="1:19" ht="46.05" customHeight="1">
      <c r="A3" s="3" t="s">
        <v>11</v>
      </c>
      <c r="B3" s="9">
        <v>2026</v>
      </c>
      <c r="C3" s="9">
        <v>21</v>
      </c>
      <c r="D3" s="9">
        <v>41</v>
      </c>
      <c r="E3" s="10">
        <v>9.4652456077633767E-3</v>
      </c>
      <c r="F3" s="10">
        <v>1.2378481175130764E-2</v>
      </c>
      <c r="G3" s="10">
        <v>1.4523287825158717E-2</v>
      </c>
      <c r="H3" s="10">
        <v>2.3568739816843643E-2</v>
      </c>
      <c r="I3" s="11">
        <v>283.95219830423594</v>
      </c>
      <c r="J3" s="11">
        <v>2.1584970094263554</v>
      </c>
      <c r="K3" s="11">
        <f>I3</f>
        <v>283.95219830423594</v>
      </c>
      <c r="L3" s="12">
        <f t="shared" ref="L3:L8" si="0">K3/3600</f>
        <v>7.8875610640065541E-2</v>
      </c>
      <c r="M3" s="10">
        <v>6.0635344947085661E-2</v>
      </c>
      <c r="N3" s="13">
        <v>35598</v>
      </c>
      <c r="O3" s="13">
        <v>18357</v>
      </c>
      <c r="P3" s="4" t="s">
        <v>47</v>
      </c>
      <c r="Q3" s="4" t="s">
        <v>48</v>
      </c>
      <c r="R3" s="4" t="s">
        <v>49</v>
      </c>
      <c r="S3" s="5" t="s">
        <v>50</v>
      </c>
    </row>
    <row r="4" spans="1:19" ht="46.05" customHeight="1">
      <c r="A4" s="14" t="s">
        <v>11</v>
      </c>
      <c r="B4" s="15">
        <v>2027</v>
      </c>
      <c r="C4" s="15">
        <v>21</v>
      </c>
      <c r="D4" s="15">
        <v>41</v>
      </c>
      <c r="E4" s="16">
        <v>9.3771627945031695E-3</v>
      </c>
      <c r="F4" s="16">
        <v>1.2542437922553377E-2</v>
      </c>
      <c r="G4" s="16">
        <v>1.4748019551660206E-2</v>
      </c>
      <c r="H4" s="16">
        <v>2.4636215517725716E-2</v>
      </c>
      <c r="I4" s="17">
        <v>275.0511545650661</v>
      </c>
      <c r="J4" s="17">
        <v>2.1306462809443474</v>
      </c>
      <c r="K4" s="17">
        <f>I4</f>
        <v>275.0511545650661</v>
      </c>
      <c r="L4" s="18">
        <f t="shared" si="0"/>
        <v>7.640309849029614E-2</v>
      </c>
      <c r="M4" s="16">
        <v>5.9852977160074934E-2</v>
      </c>
      <c r="N4" s="19">
        <v>35598</v>
      </c>
      <c r="O4" s="19">
        <v>18357</v>
      </c>
      <c r="P4" s="20" t="s">
        <v>47</v>
      </c>
      <c r="Q4" s="20" t="s">
        <v>51</v>
      </c>
      <c r="R4" s="20" t="s">
        <v>49</v>
      </c>
      <c r="S4" s="21" t="s">
        <v>50</v>
      </c>
    </row>
    <row r="5" spans="1:19" ht="46.05" customHeight="1">
      <c r="A5" s="14" t="s">
        <v>11</v>
      </c>
      <c r="B5" s="15">
        <v>2028</v>
      </c>
      <c r="C5" s="15">
        <v>28</v>
      </c>
      <c r="D5" s="15">
        <v>48</v>
      </c>
      <c r="E5" s="16">
        <v>9.9063699041446202E-3</v>
      </c>
      <c r="F5" s="16">
        <v>1.3134452401905208E-2</v>
      </c>
      <c r="G5" s="16">
        <v>1.486038541491095E-2</v>
      </c>
      <c r="H5" s="16">
        <v>2.4945221641665263E-2</v>
      </c>
      <c r="I5" s="17">
        <v>322.47325881570578</v>
      </c>
      <c r="J5" s="17">
        <v>2.0847609117627144</v>
      </c>
      <c r="K5" s="17">
        <f>I5</f>
        <v>322.47325881570578</v>
      </c>
      <c r="L5" s="18">
        <f t="shared" si="0"/>
        <v>8.9575905226584943E-2</v>
      </c>
      <c r="M5" s="16">
        <v>5.8563989880406606E-2</v>
      </c>
      <c r="N5" s="19">
        <v>35598</v>
      </c>
      <c r="O5" s="19">
        <v>18357</v>
      </c>
      <c r="P5" s="20" t="s">
        <v>47</v>
      </c>
      <c r="Q5" s="20" t="s">
        <v>52</v>
      </c>
      <c r="R5" s="20" t="s">
        <v>49</v>
      </c>
      <c r="S5" s="21" t="s">
        <v>50</v>
      </c>
    </row>
    <row r="6" spans="1:19" ht="46.05" customHeight="1">
      <c r="A6" s="22" t="s">
        <v>20</v>
      </c>
      <c r="B6" s="23">
        <v>2026</v>
      </c>
      <c r="C6" s="23">
        <v>20</v>
      </c>
      <c r="D6" s="23">
        <v>40</v>
      </c>
      <c r="E6" s="24">
        <v>4.4343853369355202E-3</v>
      </c>
      <c r="F6" s="24">
        <v>5.7536587119102478E-3</v>
      </c>
      <c r="G6" s="24">
        <v>6.6014942713081837E-3</v>
      </c>
      <c r="H6" s="24">
        <v>1.0562391020357609E-2</v>
      </c>
      <c r="I6" s="25">
        <v>37049</v>
      </c>
      <c r="J6" s="25">
        <v>824</v>
      </c>
      <c r="K6" s="25">
        <f>I6-J6</f>
        <v>36225</v>
      </c>
      <c r="L6" s="26">
        <f t="shared" si="0"/>
        <v>10.0625</v>
      </c>
      <c r="M6" s="24">
        <v>23.147367829653351</v>
      </c>
      <c r="N6" s="27">
        <v>35598</v>
      </c>
      <c r="O6" s="27">
        <v>18357</v>
      </c>
      <c r="P6" s="28" t="s">
        <v>53</v>
      </c>
      <c r="Q6" s="28" t="s">
        <v>54</v>
      </c>
      <c r="R6" s="28" t="s">
        <v>55</v>
      </c>
      <c r="S6" s="29" t="s">
        <v>56</v>
      </c>
    </row>
    <row r="7" spans="1:19" ht="46.05" customHeight="1">
      <c r="A7" s="22" t="s">
        <v>20</v>
      </c>
      <c r="B7" s="23">
        <v>2027</v>
      </c>
      <c r="C7" s="23">
        <v>14</v>
      </c>
      <c r="D7" s="23">
        <v>34</v>
      </c>
      <c r="E7" s="24">
        <v>4.0017846040427685E-3</v>
      </c>
      <c r="F7" s="24">
        <v>5.7176104746758938E-3</v>
      </c>
      <c r="G7" s="24">
        <v>5.9272991493344307E-3</v>
      </c>
      <c r="H7" s="24">
        <v>1.1124220676720142E-2</v>
      </c>
      <c r="I7" s="25">
        <v>31633</v>
      </c>
      <c r="J7" s="25">
        <v>823</v>
      </c>
      <c r="K7" s="25">
        <f>I7-J7</f>
        <v>30810</v>
      </c>
      <c r="L7" s="26">
        <f t="shared" si="0"/>
        <v>8.5583333333333336</v>
      </c>
      <c r="M7" s="24">
        <v>23.119276363840665</v>
      </c>
      <c r="N7" s="27">
        <v>35598</v>
      </c>
      <c r="O7" s="27">
        <v>18357</v>
      </c>
      <c r="P7" s="28" t="s">
        <v>53</v>
      </c>
      <c r="Q7" s="28" t="s">
        <v>57</v>
      </c>
      <c r="R7" s="28" t="s">
        <v>55</v>
      </c>
      <c r="S7" s="29" t="s">
        <v>56</v>
      </c>
    </row>
    <row r="8" spans="1:19" ht="46.05" customHeight="1">
      <c r="A8" s="6" t="s">
        <v>20</v>
      </c>
      <c r="B8" s="30">
        <v>2028</v>
      </c>
      <c r="C8" s="30">
        <v>189</v>
      </c>
      <c r="D8" s="30">
        <v>200</v>
      </c>
      <c r="E8" s="31">
        <v>1.924930140376091E-2</v>
      </c>
      <c r="F8" s="31">
        <v>2.4426992982625961E-2</v>
      </c>
      <c r="G8" s="31">
        <v>2.9074667021632195E-2</v>
      </c>
      <c r="H8" s="31">
        <v>4.5086801052093506E-2</v>
      </c>
      <c r="I8" s="32">
        <v>182056</v>
      </c>
      <c r="J8" s="32">
        <v>825</v>
      </c>
      <c r="K8" s="32">
        <f>I8-J8</f>
        <v>181231</v>
      </c>
      <c r="L8" s="33">
        <f t="shared" si="0"/>
        <v>50.341944444444444</v>
      </c>
      <c r="M8" s="31">
        <v>23.175459295466037</v>
      </c>
      <c r="N8" s="34">
        <v>35598</v>
      </c>
      <c r="O8" s="34">
        <v>18357</v>
      </c>
      <c r="P8" s="7" t="s">
        <v>53</v>
      </c>
      <c r="Q8" s="7" t="s">
        <v>58</v>
      </c>
      <c r="R8" s="7" t="s">
        <v>59</v>
      </c>
      <c r="S8" s="8" t="s">
        <v>56</v>
      </c>
    </row>
  </sheetData>
  <mergeCells count="1">
    <mergeCell ref="A1:S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workbookViewId="0">
      <selection sqref="A1:D1"/>
    </sheetView>
  </sheetViews>
  <sheetFormatPr defaultRowHeight="13.5"/>
  <cols>
    <col min="1" max="1" width="25" customWidth="1"/>
    <col min="2" max="2" width="28" customWidth="1"/>
    <col min="3" max="4" width="18" customWidth="1"/>
  </cols>
  <sheetData>
    <row r="1" spans="1:4" ht="34.049999999999997" customHeight="1">
      <c r="A1" s="48" t="s">
        <v>60</v>
      </c>
      <c r="B1" s="48" t="s">
        <v>60</v>
      </c>
      <c r="C1" s="48" t="s">
        <v>60</v>
      </c>
      <c r="D1" s="48" t="s">
        <v>60</v>
      </c>
    </row>
    <row r="2" spans="1:4" ht="14.65">
      <c r="A2" s="2" t="s">
        <v>61</v>
      </c>
      <c r="B2" s="2" t="s">
        <v>2</v>
      </c>
      <c r="C2" s="2" t="s">
        <v>62</v>
      </c>
      <c r="D2" s="2" t="s">
        <v>63</v>
      </c>
    </row>
    <row r="3" spans="1:4" ht="13.9">
      <c r="A3" s="3" t="s">
        <v>3</v>
      </c>
      <c r="B3" s="4" t="s">
        <v>11</v>
      </c>
      <c r="C3" s="10">
        <v>9.5829261021370543E-3</v>
      </c>
      <c r="D3" s="35">
        <v>2.8355169773921243E-4</v>
      </c>
    </row>
    <row r="4" spans="1:4" ht="13.9">
      <c r="A4" s="22" t="s">
        <v>3</v>
      </c>
      <c r="B4" s="28" t="s">
        <v>20</v>
      </c>
      <c r="C4" s="24">
        <v>9.228490448246399E-3</v>
      </c>
      <c r="D4" s="36">
        <v>8.6809720079691864E-3</v>
      </c>
    </row>
    <row r="5" spans="1:4" ht="13.9">
      <c r="A5" s="14" t="s">
        <v>4</v>
      </c>
      <c r="B5" s="20" t="s">
        <v>11</v>
      </c>
      <c r="C5" s="16">
        <v>1.2685123833196449E-2</v>
      </c>
      <c r="D5" s="37">
        <v>3.9767144195899538E-4</v>
      </c>
    </row>
    <row r="6" spans="1:4" ht="13.9">
      <c r="A6" s="22" t="s">
        <v>4</v>
      </c>
      <c r="B6" s="28" t="s">
        <v>20</v>
      </c>
      <c r="C6" s="24">
        <v>1.1966087389737368E-2</v>
      </c>
      <c r="D6" s="36">
        <v>1.079147584971646E-2</v>
      </c>
    </row>
    <row r="7" spans="1:4" ht="13.9">
      <c r="A7" s="14" t="s">
        <v>5</v>
      </c>
      <c r="B7" s="20" t="s">
        <v>11</v>
      </c>
      <c r="C7" s="16">
        <v>1.4710564263909959E-2</v>
      </c>
      <c r="D7" s="37">
        <v>1.7164169129186427E-4</v>
      </c>
    </row>
    <row r="8" spans="1:4" ht="13.9">
      <c r="A8" s="22" t="s">
        <v>5</v>
      </c>
      <c r="B8" s="28" t="s">
        <v>20</v>
      </c>
      <c r="C8" s="24">
        <v>1.3867820147424936E-2</v>
      </c>
      <c r="D8" s="36">
        <v>1.31738293087968E-2</v>
      </c>
    </row>
    <row r="9" spans="1:4" ht="13.9">
      <c r="A9" s="14" t="s">
        <v>6</v>
      </c>
      <c r="B9" s="20" t="s">
        <v>11</v>
      </c>
      <c r="C9" s="16">
        <v>2.4383392325411538E-2</v>
      </c>
      <c r="D9" s="37">
        <v>7.2222934615329213E-4</v>
      </c>
    </row>
    <row r="10" spans="1:4" ht="13.9">
      <c r="A10" s="22" t="s">
        <v>6</v>
      </c>
      <c r="B10" s="28" t="s">
        <v>20</v>
      </c>
      <c r="C10" s="24">
        <v>2.2257804249723751E-2</v>
      </c>
      <c r="D10" s="36">
        <v>1.9772486803451114E-2</v>
      </c>
    </row>
    <row r="11" spans="1:4" ht="13.9">
      <c r="A11" s="14" t="s">
        <v>7</v>
      </c>
      <c r="B11" s="20" t="s">
        <v>11</v>
      </c>
      <c r="C11" s="16">
        <v>293.82553722833592</v>
      </c>
      <c r="D11" s="37">
        <v>25.205676127060062</v>
      </c>
    </row>
    <row r="12" spans="1:4" ht="13.9">
      <c r="A12" s="22" t="s">
        <v>7</v>
      </c>
      <c r="B12" s="28" t="s">
        <v>20</v>
      </c>
      <c r="C12" s="24">
        <v>82755.333333333328</v>
      </c>
      <c r="D12" s="36">
        <v>85325.396279966575</v>
      </c>
    </row>
    <row r="13" spans="1:4" ht="13.9">
      <c r="A13" s="14" t="s">
        <v>8</v>
      </c>
      <c r="B13" s="20" t="s">
        <v>11</v>
      </c>
      <c r="C13" s="16">
        <v>8.1618204785648865E-2</v>
      </c>
      <c r="D13" s="37">
        <v>7.0015767019611297E-3</v>
      </c>
    </row>
    <row r="14" spans="1:4" ht="13.9">
      <c r="A14" s="22" t="s">
        <v>8</v>
      </c>
      <c r="B14" s="28" t="s">
        <v>20</v>
      </c>
      <c r="C14" s="24">
        <v>22.987592592592591</v>
      </c>
      <c r="D14" s="36">
        <v>23.701498966657379</v>
      </c>
    </row>
    <row r="15" spans="1:4" ht="13.9">
      <c r="A15" s="14" t="s">
        <v>9</v>
      </c>
      <c r="B15" s="20" t="s">
        <v>11</v>
      </c>
      <c r="C15" s="16">
        <v>5.968410399585574E-2</v>
      </c>
      <c r="D15" s="37">
        <v>1.0459524665391358E-3</v>
      </c>
    </row>
    <row r="16" spans="1:4" ht="13.9">
      <c r="A16" s="6" t="s">
        <v>9</v>
      </c>
      <c r="B16" s="7" t="s">
        <v>20</v>
      </c>
      <c r="C16" s="31">
        <v>23.147367829653351</v>
      </c>
      <c r="D16" s="38">
        <v>2.8091465812686067E-2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showGridLines="0" workbookViewId="0">
      <selection sqref="A1:D1"/>
    </sheetView>
  </sheetViews>
  <sheetFormatPr defaultRowHeight="13.5"/>
  <cols>
    <col min="1" max="1" width="22" customWidth="1"/>
    <col min="2" max="2" width="45" customWidth="1"/>
    <col min="3" max="3" width="62" customWidth="1"/>
    <col min="4" max="4" width="18" customWidth="1"/>
  </cols>
  <sheetData>
    <row r="1" spans="1:4" ht="34.049999999999997" customHeight="1">
      <c r="A1" s="48" t="s">
        <v>64</v>
      </c>
      <c r="B1" s="48" t="s">
        <v>64</v>
      </c>
      <c r="C1" s="48" t="s">
        <v>64</v>
      </c>
      <c r="D1" s="48" t="s">
        <v>64</v>
      </c>
    </row>
    <row r="2" spans="1:4" ht="14.65">
      <c r="A2" s="2" t="s">
        <v>65</v>
      </c>
      <c r="B2" s="2" t="s">
        <v>66</v>
      </c>
      <c r="C2" s="2" t="s">
        <v>67</v>
      </c>
      <c r="D2" s="2" t="s">
        <v>68</v>
      </c>
    </row>
    <row r="3" spans="1:4" ht="44" customHeight="1">
      <c r="A3" s="39" t="s">
        <v>69</v>
      </c>
      <c r="B3" s="40" t="s">
        <v>70</v>
      </c>
      <c r="C3" s="40" t="s">
        <v>71</v>
      </c>
      <c r="D3" s="41" t="s">
        <v>72</v>
      </c>
    </row>
    <row r="4" spans="1:4" ht="44" customHeight="1">
      <c r="A4" s="42" t="s">
        <v>73</v>
      </c>
      <c r="B4" s="43" t="s">
        <v>74</v>
      </c>
      <c r="C4" s="43" t="s">
        <v>75</v>
      </c>
      <c r="D4" s="44" t="s">
        <v>72</v>
      </c>
    </row>
    <row r="5" spans="1:4" ht="44" customHeight="1">
      <c r="A5" s="42" t="s">
        <v>76</v>
      </c>
      <c r="B5" s="43" t="s">
        <v>77</v>
      </c>
      <c r="C5" s="43" t="s">
        <v>78</v>
      </c>
      <c r="D5" s="44" t="s">
        <v>72</v>
      </c>
    </row>
    <row r="6" spans="1:4" ht="44" customHeight="1">
      <c r="A6" s="42" t="s">
        <v>79</v>
      </c>
      <c r="B6" s="43" t="s">
        <v>80</v>
      </c>
      <c r="C6" s="43" t="s">
        <v>81</v>
      </c>
      <c r="D6" s="44" t="s">
        <v>72</v>
      </c>
    </row>
    <row r="7" spans="1:4" ht="44" customHeight="1">
      <c r="A7" s="42" t="s">
        <v>82</v>
      </c>
      <c r="B7" s="43" t="s">
        <v>83</v>
      </c>
      <c r="C7" s="43" t="s">
        <v>84</v>
      </c>
      <c r="D7" s="44" t="s">
        <v>72</v>
      </c>
    </row>
    <row r="8" spans="1:4" ht="44" customHeight="1">
      <c r="A8" s="42" t="s">
        <v>85</v>
      </c>
      <c r="B8" s="43" t="s">
        <v>86</v>
      </c>
      <c r="C8" s="43" t="s">
        <v>84</v>
      </c>
      <c r="D8" s="44" t="s">
        <v>72</v>
      </c>
    </row>
    <row r="9" spans="1:4" ht="44" customHeight="1">
      <c r="A9" s="42" t="s">
        <v>87</v>
      </c>
      <c r="B9" s="43" t="s">
        <v>88</v>
      </c>
      <c r="C9" s="43" t="s">
        <v>89</v>
      </c>
      <c r="D9" s="44" t="s">
        <v>90</v>
      </c>
    </row>
    <row r="10" spans="1:4" ht="44" customHeight="1">
      <c r="A10" s="42" t="s">
        <v>91</v>
      </c>
      <c r="B10" s="43" t="s">
        <v>92</v>
      </c>
      <c r="C10" s="43" t="s">
        <v>93</v>
      </c>
      <c r="D10" s="44" t="s">
        <v>94</v>
      </c>
    </row>
    <row r="11" spans="1:4" ht="44" customHeight="1">
      <c r="A11" s="42" t="s">
        <v>95</v>
      </c>
      <c r="B11" s="43" t="s">
        <v>96</v>
      </c>
      <c r="C11" s="43" t="s">
        <v>97</v>
      </c>
      <c r="D11" s="44" t="s">
        <v>72</v>
      </c>
    </row>
    <row r="12" spans="1:4" ht="44" customHeight="1">
      <c r="A12" s="42" t="s">
        <v>98</v>
      </c>
      <c r="B12" s="43" t="s">
        <v>99</v>
      </c>
      <c r="C12" s="43" t="s">
        <v>100</v>
      </c>
      <c r="D12" s="44" t="s">
        <v>101</v>
      </c>
    </row>
    <row r="13" spans="1:4" ht="44" customHeight="1">
      <c r="A13" s="45" t="s">
        <v>10</v>
      </c>
      <c r="B13" s="46" t="s">
        <v>102</v>
      </c>
      <c r="C13" s="46" t="s">
        <v>103</v>
      </c>
      <c r="D13" s="47" t="s">
        <v>104</v>
      </c>
    </row>
  </sheetData>
  <mergeCells count="1">
    <mergeCell ref="A1:D1"/>
  </mergeCells>
  <phoneticPr fontId="5" type="noConversion"/>
  <conditionalFormatting sqref="D3:D13">
    <cfRule type="containsText" dxfId="2" priority="1" operator="containsText" text="一致"/>
    <cfRule type="containsText" dxfId="1" priority="2" operator="containsText" text="不同"/>
    <cfRule type="containsText" dxfId="0" priority="3" operator="containsText" text="需注明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showGridLines="0" workbookViewId="0">
      <selection activeCell="I5" sqref="I5"/>
    </sheetView>
  </sheetViews>
  <sheetFormatPr defaultRowHeight="13.5"/>
  <cols>
    <col min="1" max="1" width="31" customWidth="1"/>
    <col min="2" max="2" width="42" customWidth="1"/>
    <col min="3" max="3" width="76" customWidth="1"/>
  </cols>
  <sheetData>
    <row r="1" spans="1:3" ht="34.049999999999997" customHeight="1">
      <c r="A1" s="48" t="s">
        <v>126</v>
      </c>
      <c r="B1" s="48" t="s">
        <v>105</v>
      </c>
      <c r="C1" s="48" t="s">
        <v>105</v>
      </c>
    </row>
    <row r="2" spans="1:3" ht="14.65">
      <c r="A2" s="2" t="s">
        <v>106</v>
      </c>
      <c r="B2" s="2" t="s">
        <v>107</v>
      </c>
      <c r="C2" s="2" t="s">
        <v>108</v>
      </c>
    </row>
    <row r="3" spans="1:3" ht="48" customHeight="1">
      <c r="A3" s="39" t="s">
        <v>109</v>
      </c>
      <c r="B3" s="40" t="s">
        <v>123</v>
      </c>
      <c r="C3" s="40" t="s">
        <v>110</v>
      </c>
    </row>
    <row r="4" spans="1:3" ht="48" customHeight="1">
      <c r="A4" s="42" t="s">
        <v>111</v>
      </c>
      <c r="B4" s="43" t="s">
        <v>124</v>
      </c>
      <c r="C4" s="43" t="s">
        <v>112</v>
      </c>
    </row>
    <row r="5" spans="1:3" ht="48" customHeight="1">
      <c r="A5" s="42" t="s">
        <v>113</v>
      </c>
      <c r="B5" s="43" t="s">
        <v>122</v>
      </c>
      <c r="C5" s="43" t="s">
        <v>114</v>
      </c>
    </row>
    <row r="6" spans="1:3" ht="48" customHeight="1">
      <c r="A6" s="42" t="s">
        <v>115</v>
      </c>
      <c r="B6" s="43" t="s">
        <v>125</v>
      </c>
      <c r="C6" s="43" t="s">
        <v>116</v>
      </c>
    </row>
    <row r="7" spans="1:3" ht="48" customHeight="1">
      <c r="A7" s="42" t="s">
        <v>117</v>
      </c>
      <c r="B7" s="43" t="s">
        <v>121</v>
      </c>
      <c r="C7" s="43" t="s">
        <v>118</v>
      </c>
    </row>
    <row r="8" spans="1:3" ht="48" customHeight="1">
      <c r="A8" s="42"/>
      <c r="B8" s="43"/>
      <c r="C8" s="43"/>
    </row>
    <row r="9" spans="1:3" ht="48" customHeight="1">
      <c r="A9" s="45"/>
      <c r="B9" s="46"/>
      <c r="C9" s="46"/>
    </row>
  </sheetData>
  <mergeCells count="1"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统一汇总</vt:lpstr>
      <vt:lpstr>共同种子原始数据</vt:lpstr>
      <vt:lpstr>统计计算</vt:lpstr>
      <vt:lpstr>口径与说明</vt:lpstr>
      <vt:lpstr>来源映射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ruixuan zhou</cp:lastModifiedBy>
  <dcterms:modified xsi:type="dcterms:W3CDTF">2026-07-30T12:34:03Z</dcterms:modified>
</cp:coreProperties>
</file>